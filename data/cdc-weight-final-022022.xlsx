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uq185/Desktop/alldata/"/>
    </mc:Choice>
  </mc:AlternateContent>
  <xr:revisionPtr revIDLastSave="0" documentId="13_ncr:1_{E66EF9E2-366C-EB41-BC92-2304856F6D7A}" xr6:coauthVersionLast="47" xr6:coauthVersionMax="47" xr10:uidLastSave="{00000000-0000-0000-0000-000000000000}"/>
  <bookViews>
    <workbookView xWindow="11560" yWindow="3540" windowWidth="26840" windowHeight="15940" xr2:uid="{FE770704-8EAC-F945-8D27-E93AF1CBD0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" i="1" l="1"/>
  <c r="G66" i="1"/>
  <c r="D66" i="1"/>
  <c r="G65" i="1"/>
  <c r="I65" i="1" s="1"/>
  <c r="D65" i="1"/>
  <c r="G64" i="1"/>
  <c r="D64" i="1"/>
  <c r="G63" i="1"/>
  <c r="D63" i="1"/>
  <c r="G62" i="1"/>
  <c r="D62" i="1"/>
  <c r="G61" i="1"/>
  <c r="D61" i="1"/>
  <c r="G60" i="1"/>
  <c r="D60" i="1"/>
  <c r="G59" i="1"/>
  <c r="D59" i="1"/>
  <c r="G58" i="1"/>
  <c r="D58" i="1"/>
  <c r="G57" i="1"/>
  <c r="D57" i="1"/>
  <c r="G56" i="1"/>
  <c r="D56" i="1"/>
  <c r="G55" i="1"/>
  <c r="D55" i="1"/>
  <c r="G54" i="1"/>
  <c r="D54" i="1"/>
  <c r="G53" i="1"/>
  <c r="D53" i="1"/>
  <c r="G52" i="1"/>
  <c r="D52" i="1"/>
  <c r="G51" i="1"/>
  <c r="D51" i="1"/>
  <c r="G50" i="1"/>
  <c r="D50" i="1"/>
  <c r="G49" i="1"/>
  <c r="D49" i="1"/>
  <c r="G48" i="1"/>
  <c r="D48" i="1"/>
  <c r="G47" i="1"/>
  <c r="I47" i="1" s="1"/>
  <c r="D47" i="1"/>
  <c r="G46" i="1"/>
  <c r="D46" i="1"/>
  <c r="G45" i="1"/>
  <c r="D45" i="1"/>
  <c r="G44" i="1"/>
  <c r="I44" i="1" s="1"/>
  <c r="D44" i="1"/>
  <c r="G43" i="1"/>
  <c r="D43" i="1"/>
  <c r="G42" i="1"/>
  <c r="D42" i="1"/>
  <c r="G41" i="1"/>
  <c r="I41" i="1" s="1"/>
  <c r="D41" i="1"/>
  <c r="G40" i="1"/>
  <c r="D40" i="1"/>
  <c r="G39" i="1"/>
  <c r="D39" i="1"/>
  <c r="G38" i="1"/>
  <c r="I38" i="1" s="1"/>
  <c r="D38" i="1"/>
  <c r="G37" i="1"/>
  <c r="I37" i="1" s="1"/>
  <c r="D37" i="1"/>
  <c r="G36" i="1"/>
  <c r="D36" i="1"/>
  <c r="G35" i="1"/>
  <c r="I35" i="1" s="1"/>
  <c r="D35" i="1"/>
  <c r="G34" i="1"/>
  <c r="I34" i="1" s="1"/>
  <c r="D34" i="1"/>
  <c r="G33" i="1"/>
  <c r="D33" i="1"/>
  <c r="G32" i="1"/>
  <c r="I32" i="1" s="1"/>
  <c r="D32" i="1"/>
  <c r="G31" i="1"/>
  <c r="I31" i="1" s="1"/>
  <c r="D31" i="1"/>
  <c r="G30" i="1"/>
  <c r="D30" i="1"/>
  <c r="G29" i="1"/>
  <c r="I29" i="1" s="1"/>
  <c r="D29" i="1"/>
  <c r="G28" i="1"/>
  <c r="I28" i="1" s="1"/>
  <c r="D28" i="1"/>
  <c r="G27" i="1"/>
  <c r="D27" i="1"/>
  <c r="G26" i="1"/>
  <c r="I26" i="1" s="1"/>
  <c r="D26" i="1"/>
  <c r="G25" i="1"/>
  <c r="I25" i="1" s="1"/>
  <c r="D25" i="1"/>
  <c r="G24" i="1"/>
  <c r="D24" i="1"/>
  <c r="G23" i="1"/>
  <c r="I23" i="1" s="1"/>
  <c r="D23" i="1"/>
  <c r="G22" i="1"/>
  <c r="I22" i="1" s="1"/>
  <c r="D22" i="1"/>
  <c r="G21" i="1"/>
  <c r="D21" i="1"/>
  <c r="G20" i="1"/>
  <c r="I20" i="1" s="1"/>
  <c r="D20" i="1"/>
  <c r="G19" i="1"/>
  <c r="I19" i="1" s="1"/>
  <c r="D19" i="1"/>
  <c r="G18" i="1"/>
  <c r="D18" i="1"/>
  <c r="G17" i="1"/>
  <c r="I17" i="1" s="1"/>
  <c r="D17" i="1"/>
  <c r="G16" i="1"/>
  <c r="I16" i="1" s="1"/>
  <c r="D16" i="1"/>
  <c r="G15" i="1"/>
  <c r="D15" i="1"/>
  <c r="G14" i="1"/>
  <c r="I14" i="1" s="1"/>
  <c r="D14" i="1"/>
  <c r="G13" i="1"/>
  <c r="I13" i="1" s="1"/>
  <c r="D13" i="1"/>
  <c r="G12" i="1"/>
  <c r="D12" i="1"/>
  <c r="G11" i="1"/>
  <c r="I11" i="1" s="1"/>
  <c r="D11" i="1"/>
  <c r="G10" i="1"/>
  <c r="I10" i="1" s="1"/>
  <c r="D10" i="1"/>
  <c r="G9" i="1"/>
  <c r="D9" i="1"/>
  <c r="G8" i="1"/>
  <c r="I8" i="1" s="1"/>
  <c r="D8" i="1"/>
  <c r="G7" i="1"/>
  <c r="I7" i="1" s="1"/>
  <c r="D7" i="1"/>
  <c r="G6" i="1"/>
  <c r="D6" i="1"/>
  <c r="G5" i="1"/>
  <c r="I5" i="1" s="1"/>
  <c r="D5" i="1"/>
  <c r="G4" i="1"/>
  <c r="I4" i="1" s="1"/>
  <c r="D4" i="1"/>
  <c r="G3" i="1"/>
  <c r="D3" i="1"/>
  <c r="G2" i="1"/>
  <c r="I2" i="1" s="1"/>
  <c r="D2" i="1"/>
  <c r="I3" i="1" l="1"/>
  <c r="I9" i="1"/>
  <c r="I21" i="1"/>
  <c r="I27" i="1"/>
  <c r="I39" i="1"/>
  <c r="I48" i="1"/>
  <c r="I66" i="1"/>
  <c r="I6" i="1"/>
  <c r="I12" i="1"/>
  <c r="I15" i="1"/>
  <c r="I24" i="1"/>
  <c r="I30" i="1"/>
  <c r="I36" i="1"/>
  <c r="I42" i="1"/>
  <c r="I45" i="1"/>
  <c r="I51" i="1"/>
  <c r="I54" i="1"/>
  <c r="I57" i="1"/>
  <c r="I63" i="1"/>
  <c r="I40" i="1"/>
  <c r="I43" i="1"/>
  <c r="I46" i="1"/>
  <c r="I49" i="1"/>
  <c r="I52" i="1"/>
  <c r="I55" i="1"/>
  <c r="I58" i="1"/>
  <c r="I61" i="1"/>
  <c r="I64" i="1"/>
  <c r="I18" i="1"/>
  <c r="I33" i="1"/>
  <c r="I60" i="1"/>
  <c r="I50" i="1"/>
  <c r="I53" i="1"/>
  <c r="I56" i="1"/>
  <c r="I59" i="1"/>
  <c r="I62" i="1"/>
</calcChain>
</file>

<file path=xl/sharedStrings.xml><?xml version="1.0" encoding="utf-8"?>
<sst xmlns="http://schemas.openxmlformats.org/spreadsheetml/2006/main" count="150" uniqueCount="58">
  <si>
    <t>vaccinetype</t>
  </si>
  <si>
    <t>ipd_sero</t>
  </si>
  <si>
    <t>ipd_count</t>
  </si>
  <si>
    <t>ipd_prop</t>
  </si>
  <si>
    <t>ca_sero</t>
  </si>
  <si>
    <t>ca_count</t>
  </si>
  <si>
    <t>ca_prop</t>
  </si>
  <si>
    <t>weight</t>
  </si>
  <si>
    <t>weightadjust</t>
  </si>
  <si>
    <t>PCV13</t>
  </si>
  <si>
    <t>PCV7</t>
  </si>
  <si>
    <t>NVT</t>
  </si>
  <si>
    <t>10A</t>
  </si>
  <si>
    <t>11A</t>
  </si>
  <si>
    <t>12A</t>
  </si>
  <si>
    <t>15A</t>
  </si>
  <si>
    <t>15BC</t>
  </si>
  <si>
    <t>16F</t>
  </si>
  <si>
    <t>17F</t>
  </si>
  <si>
    <t>18B</t>
  </si>
  <si>
    <t>18C</t>
  </si>
  <si>
    <t>19A</t>
  </si>
  <si>
    <t>19F</t>
  </si>
  <si>
    <t>22A</t>
  </si>
  <si>
    <t>22F</t>
  </si>
  <si>
    <t>23A</t>
  </si>
  <si>
    <t>23B</t>
  </si>
  <si>
    <t>23F</t>
  </si>
  <si>
    <t>33A</t>
  </si>
  <si>
    <t>33F</t>
  </si>
  <si>
    <t>35A</t>
  </si>
  <si>
    <t>35BD</t>
  </si>
  <si>
    <t>35F</t>
  </si>
  <si>
    <t>6A</t>
  </si>
  <si>
    <t>6B</t>
  </si>
  <si>
    <t>6C</t>
  </si>
  <si>
    <t>7A</t>
  </si>
  <si>
    <t>7B</t>
  </si>
  <si>
    <t>7C</t>
  </si>
  <si>
    <t>9L</t>
  </si>
  <si>
    <t>9N</t>
  </si>
  <si>
    <t>9V</t>
  </si>
  <si>
    <t>NT</t>
  </si>
  <si>
    <t>11BC</t>
  </si>
  <si>
    <t>12F</t>
  </si>
  <si>
    <t>15F</t>
  </si>
  <si>
    <t>17A</t>
  </si>
  <si>
    <t>18A</t>
  </si>
  <si>
    <t>18F</t>
  </si>
  <si>
    <t>24FAB</t>
  </si>
  <si>
    <t>28A</t>
  </si>
  <si>
    <t>28F</t>
  </si>
  <si>
    <t>7F</t>
  </si>
  <si>
    <t>9A</t>
  </si>
  <si>
    <t>10F</t>
  </si>
  <si>
    <t>15D</t>
  </si>
  <si>
    <t>6D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</si>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</sst>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D903-542A-404B-A33B-C72A908370F7}">
  <dimension ref="A1:I66"/>
  <sheetViews>
    <sheetView tabSelected="1" topLeftCell="A48" workbookViewId="0">
      <selection activeCell="H77" sqref="H77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1</v>
      </c>
      <c r="C2">
        <v>136</v>
      </c>
      <c r="D2">
        <f>C2/6995.55</f>
        <v>1.9440930305694333E-2</v>
      </c>
      <c r="E2">
        <v>1</v>
      </c>
      <c r="F2">
        <v>2</v>
      </c>
      <c r="G2">
        <f>F2/408.15</f>
        <v>4.9001592551757931E-3</v>
      </c>
      <c r="H2">
        <v>0.25195114900997256</v>
      </c>
      <c r="I2">
        <f>G2/D2</f>
        <v>0.25205374321724283</v>
      </c>
    </row>
    <row r="3" spans="1:9" x14ac:dyDescent="0.2">
      <c r="A3" t="s">
        <v>9</v>
      </c>
      <c r="B3">
        <v>3</v>
      </c>
      <c r="C3">
        <v>278</v>
      </c>
      <c r="D3">
        <f t="shared" ref="D3:D66" si="0">C3/6995.55</f>
        <v>3.9739548713110473E-2</v>
      </c>
      <c r="E3">
        <v>3</v>
      </c>
      <c r="F3">
        <v>4</v>
      </c>
      <c r="G3">
        <f t="shared" ref="G3:G66" si="1">F3/408.15</f>
        <v>9.8003185103515862E-3</v>
      </c>
      <c r="H3">
        <v>0.24651335442702349</v>
      </c>
      <c r="I3">
        <f t="shared" ref="I3:I66" si="2">G3/D3</f>
        <v>0.24661373437082751</v>
      </c>
    </row>
    <row r="4" spans="1:9" x14ac:dyDescent="0.2">
      <c r="A4" t="s">
        <v>10</v>
      </c>
      <c r="B4">
        <v>4</v>
      </c>
      <c r="C4">
        <v>759</v>
      </c>
      <c r="D4">
        <f t="shared" si="0"/>
        <v>0.10849754486780881</v>
      </c>
      <c r="E4">
        <v>4</v>
      </c>
      <c r="F4">
        <v>7</v>
      </c>
      <c r="G4">
        <f t="shared" si="1"/>
        <v>1.7150557393115277E-2</v>
      </c>
      <c r="H4">
        <v>0.15800888923418568</v>
      </c>
      <c r="I4">
        <f t="shared" si="2"/>
        <v>0.15807323026535913</v>
      </c>
    </row>
    <row r="5" spans="1:9" x14ac:dyDescent="0.2">
      <c r="A5" t="s">
        <v>9</v>
      </c>
      <c r="B5">
        <v>5</v>
      </c>
      <c r="C5">
        <v>8</v>
      </c>
      <c r="D5">
        <f t="shared" si="0"/>
        <v>1.1435841356290785E-3</v>
      </c>
      <c r="E5">
        <v>5</v>
      </c>
      <c r="F5">
        <v>2</v>
      </c>
      <c r="G5">
        <f t="shared" si="1"/>
        <v>4.9001592551757931E-3</v>
      </c>
      <c r="H5">
        <v>4.2831695331695325</v>
      </c>
      <c r="I5">
        <f t="shared" si="2"/>
        <v>4.2849136346931278</v>
      </c>
    </row>
    <row r="6" spans="1:9" x14ac:dyDescent="0.2">
      <c r="A6" t="s">
        <v>11</v>
      </c>
      <c r="B6">
        <v>8</v>
      </c>
      <c r="C6">
        <v>62</v>
      </c>
      <c r="D6">
        <f t="shared" si="0"/>
        <v>8.8627770511253579E-3</v>
      </c>
      <c r="E6">
        <v>8</v>
      </c>
      <c r="F6">
        <v>1</v>
      </c>
      <c r="G6">
        <f t="shared" si="1"/>
        <v>2.4500796275878966E-3</v>
      </c>
      <c r="H6">
        <v>0.27633351826900215</v>
      </c>
      <c r="I6">
        <f t="shared" si="2"/>
        <v>0.27644604094794373</v>
      </c>
    </row>
    <row r="7" spans="1:9" x14ac:dyDescent="0.2">
      <c r="A7" t="s">
        <v>11</v>
      </c>
      <c r="B7">
        <v>13</v>
      </c>
      <c r="C7">
        <v>21</v>
      </c>
      <c r="D7">
        <f t="shared" si="0"/>
        <v>3.001908356026331E-3</v>
      </c>
      <c r="E7">
        <v>13</v>
      </c>
      <c r="F7">
        <v>2</v>
      </c>
      <c r="G7">
        <f t="shared" si="1"/>
        <v>4.9001592551757931E-3</v>
      </c>
      <c r="H7">
        <v>1.6316836316836316</v>
      </c>
      <c r="I7">
        <f t="shared" si="2"/>
        <v>1.6323480513116677</v>
      </c>
    </row>
    <row r="8" spans="1:9" x14ac:dyDescent="0.2">
      <c r="A8" t="s">
        <v>10</v>
      </c>
      <c r="B8">
        <v>14</v>
      </c>
      <c r="C8">
        <v>1249</v>
      </c>
      <c r="D8">
        <f t="shared" si="0"/>
        <v>0.17854207317508988</v>
      </c>
      <c r="E8">
        <v>14</v>
      </c>
      <c r="F8">
        <v>19</v>
      </c>
      <c r="G8">
        <f t="shared" si="1"/>
        <v>4.6551512924170035E-2</v>
      </c>
      <c r="H8">
        <v>0.26062520778293397</v>
      </c>
      <c r="I8">
        <f t="shared" si="2"/>
        <v>0.26073133405658744</v>
      </c>
    </row>
    <row r="9" spans="1:9" x14ac:dyDescent="0.2">
      <c r="A9" t="s">
        <v>11</v>
      </c>
      <c r="B9">
        <v>20</v>
      </c>
      <c r="C9">
        <v>33</v>
      </c>
      <c r="D9">
        <f t="shared" si="0"/>
        <v>4.7172845594699482E-3</v>
      </c>
      <c r="E9">
        <v>20</v>
      </c>
      <c r="F9">
        <v>1</v>
      </c>
      <c r="G9">
        <f t="shared" si="1"/>
        <v>2.4500796275878966E-3</v>
      </c>
      <c r="H9">
        <v>0.51917206462661003</v>
      </c>
      <c r="I9">
        <f t="shared" si="2"/>
        <v>0.51938347087189429</v>
      </c>
    </row>
    <row r="10" spans="1:9" x14ac:dyDescent="0.2">
      <c r="A10" t="s">
        <v>11</v>
      </c>
      <c r="B10">
        <v>21</v>
      </c>
      <c r="C10">
        <v>1</v>
      </c>
      <c r="D10">
        <f t="shared" si="0"/>
        <v>1.4294801695363481E-4</v>
      </c>
      <c r="E10">
        <v>21</v>
      </c>
      <c r="F10">
        <v>2</v>
      </c>
      <c r="G10">
        <f t="shared" si="1"/>
        <v>4.9001592551757931E-3</v>
      </c>
      <c r="H10">
        <v>34.26535626535626</v>
      </c>
      <c r="I10">
        <f t="shared" si="2"/>
        <v>34.279309077545022</v>
      </c>
    </row>
    <row r="11" spans="1:9" x14ac:dyDescent="0.2">
      <c r="A11" t="s">
        <v>11</v>
      </c>
      <c r="B11">
        <v>31</v>
      </c>
      <c r="C11">
        <v>35</v>
      </c>
      <c r="D11">
        <f t="shared" si="0"/>
        <v>5.0031805933772183E-3</v>
      </c>
      <c r="E11">
        <v>31</v>
      </c>
      <c r="F11">
        <v>7</v>
      </c>
      <c r="G11">
        <f t="shared" si="1"/>
        <v>1.7150557393115277E-2</v>
      </c>
      <c r="H11">
        <v>3.4265356265356264</v>
      </c>
      <c r="I11">
        <f t="shared" si="2"/>
        <v>3.4279309077545022</v>
      </c>
    </row>
    <row r="12" spans="1:9" x14ac:dyDescent="0.2">
      <c r="A12" t="s">
        <v>11</v>
      </c>
      <c r="B12">
        <v>34</v>
      </c>
      <c r="C12">
        <v>15</v>
      </c>
      <c r="D12">
        <f t="shared" si="0"/>
        <v>2.144220254304522E-3</v>
      </c>
      <c r="E12">
        <v>34</v>
      </c>
      <c r="F12">
        <v>3</v>
      </c>
      <c r="G12">
        <f t="shared" si="1"/>
        <v>7.3502388827636905E-3</v>
      </c>
      <c r="H12">
        <v>3.4265356265356264</v>
      </c>
      <c r="I12">
        <f t="shared" si="2"/>
        <v>3.4279309077545026</v>
      </c>
    </row>
    <row r="13" spans="1:9" x14ac:dyDescent="0.2">
      <c r="A13" t="s">
        <v>11</v>
      </c>
      <c r="B13">
        <v>37</v>
      </c>
      <c r="C13">
        <v>1</v>
      </c>
      <c r="D13">
        <f t="shared" si="0"/>
        <v>1.4294801695363481E-4</v>
      </c>
      <c r="E13">
        <v>37</v>
      </c>
      <c r="F13">
        <v>3</v>
      </c>
      <c r="G13">
        <f t="shared" si="1"/>
        <v>7.3502388827636905E-3</v>
      </c>
      <c r="H13">
        <v>51.398034398034397</v>
      </c>
      <c r="I13">
        <f t="shared" si="2"/>
        <v>51.418963616317534</v>
      </c>
    </row>
    <row r="14" spans="1:9" x14ac:dyDescent="0.2">
      <c r="A14" t="s">
        <v>11</v>
      </c>
      <c r="B14">
        <v>38</v>
      </c>
      <c r="C14">
        <v>53</v>
      </c>
      <c r="D14">
        <f t="shared" si="0"/>
        <v>7.576244898542645E-3</v>
      </c>
      <c r="E14">
        <v>38</v>
      </c>
      <c r="F14">
        <v>2</v>
      </c>
      <c r="G14">
        <f t="shared" si="1"/>
        <v>4.9001592551757931E-3</v>
      </c>
      <c r="H14">
        <v>0.64651615595011824</v>
      </c>
      <c r="I14">
        <f t="shared" si="2"/>
        <v>0.64677941655745319</v>
      </c>
    </row>
    <row r="15" spans="1:9" x14ac:dyDescent="0.2">
      <c r="A15" t="s">
        <v>11</v>
      </c>
      <c r="B15" t="s">
        <v>12</v>
      </c>
      <c r="C15">
        <v>40</v>
      </c>
      <c r="D15">
        <f t="shared" si="0"/>
        <v>5.7179206781453919E-3</v>
      </c>
      <c r="E15" t="s">
        <v>12</v>
      </c>
      <c r="F15">
        <v>11</v>
      </c>
      <c r="G15">
        <f t="shared" si="1"/>
        <v>2.6950875903466863E-2</v>
      </c>
      <c r="H15">
        <v>4.7114864864864865</v>
      </c>
      <c r="I15">
        <f t="shared" si="2"/>
        <v>4.7134049981624404</v>
      </c>
    </row>
    <row r="16" spans="1:9" x14ac:dyDescent="0.2">
      <c r="A16" t="s">
        <v>11</v>
      </c>
      <c r="B16" t="s">
        <v>13</v>
      </c>
      <c r="C16">
        <v>113</v>
      </c>
      <c r="D16">
        <f t="shared" si="0"/>
        <v>1.6153125915760732E-2</v>
      </c>
      <c r="E16" t="s">
        <v>13</v>
      </c>
      <c r="F16">
        <v>9</v>
      </c>
      <c r="G16">
        <f t="shared" si="1"/>
        <v>2.2050716648291072E-2</v>
      </c>
      <c r="H16">
        <v>1.3645495857885199</v>
      </c>
      <c r="I16">
        <f t="shared" si="2"/>
        <v>1.3651052287517931</v>
      </c>
    </row>
    <row r="17" spans="1:9" x14ac:dyDescent="0.2">
      <c r="A17" t="s">
        <v>11</v>
      </c>
      <c r="B17" t="s">
        <v>14</v>
      </c>
      <c r="C17">
        <v>1</v>
      </c>
      <c r="D17">
        <f t="shared" si="0"/>
        <v>1.4294801695363481E-4</v>
      </c>
      <c r="E17" t="s">
        <v>14</v>
      </c>
      <c r="F17">
        <v>1</v>
      </c>
      <c r="G17">
        <f t="shared" si="1"/>
        <v>2.4500796275878966E-3</v>
      </c>
      <c r="H17">
        <v>17.13267813267813</v>
      </c>
      <c r="I17">
        <f t="shared" si="2"/>
        <v>17.139654538772511</v>
      </c>
    </row>
    <row r="18" spans="1:9" x14ac:dyDescent="0.2">
      <c r="A18" t="s">
        <v>11</v>
      </c>
      <c r="B18" t="s">
        <v>15</v>
      </c>
      <c r="C18">
        <v>14</v>
      </c>
      <c r="D18">
        <f t="shared" si="0"/>
        <v>2.0012722373508873E-3</v>
      </c>
      <c r="E18" t="s">
        <v>15</v>
      </c>
      <c r="F18">
        <v>7</v>
      </c>
      <c r="G18">
        <f t="shared" si="1"/>
        <v>1.7150557393115277E-2</v>
      </c>
      <c r="H18">
        <v>8.5663390663390651</v>
      </c>
      <c r="I18">
        <f t="shared" si="2"/>
        <v>8.5698272693862556</v>
      </c>
    </row>
    <row r="19" spans="1:9" x14ac:dyDescent="0.2">
      <c r="A19" t="s">
        <v>11</v>
      </c>
      <c r="B19" t="s">
        <v>16</v>
      </c>
      <c r="C19">
        <v>66</v>
      </c>
      <c r="D19">
        <f t="shared" si="0"/>
        <v>9.4345691189398964E-3</v>
      </c>
      <c r="E19" t="s">
        <v>16</v>
      </c>
      <c r="F19">
        <v>20</v>
      </c>
      <c r="G19">
        <f t="shared" si="1"/>
        <v>4.9001592551757935E-2</v>
      </c>
      <c r="H19">
        <v>5.1917206462661003</v>
      </c>
      <c r="I19">
        <f t="shared" si="2"/>
        <v>5.1938347087189429</v>
      </c>
    </row>
    <row r="20" spans="1:9" x14ac:dyDescent="0.2">
      <c r="A20" t="s">
        <v>11</v>
      </c>
      <c r="B20" t="s">
        <v>17</v>
      </c>
      <c r="C20">
        <v>30</v>
      </c>
      <c r="D20">
        <f t="shared" si="0"/>
        <v>4.2884405086090439E-3</v>
      </c>
      <c r="E20" t="s">
        <v>17</v>
      </c>
      <c r="F20">
        <v>3</v>
      </c>
      <c r="G20">
        <f t="shared" si="1"/>
        <v>7.3502388827636905E-3</v>
      </c>
      <c r="H20">
        <v>1.7132678132678132</v>
      </c>
      <c r="I20">
        <f t="shared" si="2"/>
        <v>1.7139654538772513</v>
      </c>
    </row>
    <row r="21" spans="1:9" x14ac:dyDescent="0.2">
      <c r="A21" t="s">
        <v>11</v>
      </c>
      <c r="B21" t="s">
        <v>18</v>
      </c>
      <c r="C21">
        <v>10</v>
      </c>
      <c r="D21">
        <f t="shared" si="0"/>
        <v>1.429480169536348E-3</v>
      </c>
      <c r="E21" t="s">
        <v>18</v>
      </c>
      <c r="F21">
        <v>5</v>
      </c>
      <c r="G21">
        <f t="shared" si="1"/>
        <v>1.2250398137939484E-2</v>
      </c>
      <c r="H21">
        <v>8.5663390663390668</v>
      </c>
      <c r="I21">
        <f t="shared" si="2"/>
        <v>8.5698272693862556</v>
      </c>
    </row>
    <row r="22" spans="1:9" x14ac:dyDescent="0.2">
      <c r="A22" t="s">
        <v>11</v>
      </c>
      <c r="B22" t="s">
        <v>19</v>
      </c>
      <c r="C22">
        <v>6</v>
      </c>
      <c r="D22">
        <f t="shared" si="0"/>
        <v>8.5768810172180882E-4</v>
      </c>
      <c r="E22" t="s">
        <v>19</v>
      </c>
      <c r="F22">
        <v>3</v>
      </c>
      <c r="G22">
        <f t="shared" si="1"/>
        <v>7.3502388827636905E-3</v>
      </c>
      <c r="H22">
        <v>8.5663390663390668</v>
      </c>
      <c r="I22">
        <f t="shared" si="2"/>
        <v>8.5698272693862556</v>
      </c>
    </row>
    <row r="23" spans="1:9" x14ac:dyDescent="0.2">
      <c r="A23" t="s">
        <v>10</v>
      </c>
      <c r="B23" t="s">
        <v>20</v>
      </c>
      <c r="C23">
        <v>322</v>
      </c>
      <c r="D23">
        <f t="shared" si="0"/>
        <v>4.6029261459070409E-2</v>
      </c>
      <c r="E23" t="s">
        <v>20</v>
      </c>
      <c r="F23">
        <v>3</v>
      </c>
      <c r="G23">
        <f t="shared" si="1"/>
        <v>7.3502388827636905E-3</v>
      </c>
      <c r="H23">
        <v>0.15962122483861615</v>
      </c>
      <c r="I23">
        <f t="shared" si="2"/>
        <v>0.15968622241092403</v>
      </c>
    </row>
    <row r="24" spans="1:9" x14ac:dyDescent="0.2">
      <c r="A24" t="s">
        <v>9</v>
      </c>
      <c r="B24" t="s">
        <v>21</v>
      </c>
      <c r="C24">
        <v>210</v>
      </c>
      <c r="D24">
        <f t="shared" si="0"/>
        <v>3.001908356026331E-2</v>
      </c>
      <c r="E24" t="s">
        <v>21</v>
      </c>
      <c r="F24">
        <v>20</v>
      </c>
      <c r="G24">
        <f t="shared" si="1"/>
        <v>4.9001592551757935E-2</v>
      </c>
      <c r="H24">
        <v>1.6316836316836316</v>
      </c>
      <c r="I24">
        <f t="shared" si="2"/>
        <v>1.6323480513116677</v>
      </c>
    </row>
    <row r="25" spans="1:9" x14ac:dyDescent="0.2">
      <c r="A25" t="s">
        <v>10</v>
      </c>
      <c r="B25" t="s">
        <v>22</v>
      </c>
      <c r="C25">
        <v>386</v>
      </c>
      <c r="D25">
        <f t="shared" si="0"/>
        <v>5.5177934544103038E-2</v>
      </c>
      <c r="E25" t="s">
        <v>22</v>
      </c>
      <c r="F25">
        <v>26</v>
      </c>
      <c r="G25">
        <f t="shared" si="1"/>
        <v>6.3702070317285309E-2</v>
      </c>
      <c r="H25">
        <v>1.1540145892477498</v>
      </c>
      <c r="I25">
        <f t="shared" si="2"/>
        <v>1.1544845026116197</v>
      </c>
    </row>
    <row r="26" spans="1:9" x14ac:dyDescent="0.2">
      <c r="A26" t="s">
        <v>11</v>
      </c>
      <c r="B26" t="s">
        <v>23</v>
      </c>
      <c r="C26">
        <v>1</v>
      </c>
      <c r="D26">
        <f t="shared" si="0"/>
        <v>1.4294801695363481E-4</v>
      </c>
      <c r="E26" t="s">
        <v>23</v>
      </c>
      <c r="F26">
        <v>3</v>
      </c>
      <c r="G26">
        <f t="shared" si="1"/>
        <v>7.3502388827636905E-3</v>
      </c>
      <c r="H26">
        <v>51.398034398034397</v>
      </c>
      <c r="I26">
        <f t="shared" si="2"/>
        <v>51.418963616317534</v>
      </c>
    </row>
    <row r="27" spans="1:9" x14ac:dyDescent="0.2">
      <c r="A27" t="s">
        <v>11</v>
      </c>
      <c r="B27" t="s">
        <v>24</v>
      </c>
      <c r="C27">
        <v>214</v>
      </c>
      <c r="D27">
        <f t="shared" si="0"/>
        <v>3.059087562807785E-2</v>
      </c>
      <c r="E27" t="s">
        <v>24</v>
      </c>
      <c r="F27">
        <v>12</v>
      </c>
      <c r="G27">
        <f t="shared" si="1"/>
        <v>2.9400955531054762E-2</v>
      </c>
      <c r="H27">
        <v>0.96071092332774577</v>
      </c>
      <c r="I27">
        <f t="shared" si="2"/>
        <v>0.96110212366948666</v>
      </c>
    </row>
    <row r="28" spans="1:9" x14ac:dyDescent="0.2">
      <c r="A28" t="s">
        <v>11</v>
      </c>
      <c r="B28" t="s">
        <v>25</v>
      </c>
      <c r="C28">
        <v>29</v>
      </c>
      <c r="D28">
        <f t="shared" si="0"/>
        <v>4.1454924916554097E-3</v>
      </c>
      <c r="E28" t="s">
        <v>25</v>
      </c>
      <c r="F28">
        <v>6</v>
      </c>
      <c r="G28">
        <f t="shared" si="1"/>
        <v>1.4700477765527381E-2</v>
      </c>
      <c r="H28">
        <v>3.5446920274506484</v>
      </c>
      <c r="I28">
        <f t="shared" si="2"/>
        <v>3.5461354218150021</v>
      </c>
    </row>
    <row r="29" spans="1:9" x14ac:dyDescent="0.2">
      <c r="A29" t="s">
        <v>11</v>
      </c>
      <c r="B29" t="s">
        <v>26</v>
      </c>
      <c r="C29">
        <v>7</v>
      </c>
      <c r="D29">
        <f t="shared" si="0"/>
        <v>1.0006361186754437E-3</v>
      </c>
      <c r="E29" t="s">
        <v>26</v>
      </c>
      <c r="F29">
        <v>7</v>
      </c>
      <c r="G29">
        <f t="shared" si="1"/>
        <v>1.7150557393115277E-2</v>
      </c>
      <c r="H29">
        <v>17.13267813267813</v>
      </c>
      <c r="I29">
        <f t="shared" si="2"/>
        <v>17.139654538772511</v>
      </c>
    </row>
    <row r="30" spans="1:9" x14ac:dyDescent="0.2">
      <c r="A30" t="s">
        <v>10</v>
      </c>
      <c r="B30" t="s">
        <v>27</v>
      </c>
      <c r="C30">
        <v>526</v>
      </c>
      <c r="D30">
        <f t="shared" si="0"/>
        <v>7.5190656917611912E-2</v>
      </c>
      <c r="E30" t="s">
        <v>27</v>
      </c>
      <c r="F30">
        <v>37</v>
      </c>
      <c r="G30">
        <f t="shared" si="1"/>
        <v>9.0652946220752179E-2</v>
      </c>
      <c r="H30">
        <v>1.2051503629450397</v>
      </c>
      <c r="I30">
        <f t="shared" si="2"/>
        <v>1.2056410987349484</v>
      </c>
    </row>
    <row r="31" spans="1:9" x14ac:dyDescent="0.2">
      <c r="A31" t="s">
        <v>11</v>
      </c>
      <c r="B31" t="s">
        <v>28</v>
      </c>
      <c r="C31">
        <v>3</v>
      </c>
      <c r="D31">
        <f t="shared" si="0"/>
        <v>4.2884405086090441E-4</v>
      </c>
      <c r="E31" t="s">
        <v>28</v>
      </c>
      <c r="F31">
        <v>1</v>
      </c>
      <c r="G31">
        <f t="shared" si="1"/>
        <v>2.4500796275878966E-3</v>
      </c>
      <c r="H31">
        <v>5.7108927108927103</v>
      </c>
      <c r="I31">
        <f t="shared" si="2"/>
        <v>5.7132181795908368</v>
      </c>
    </row>
    <row r="32" spans="1:9" x14ac:dyDescent="0.2">
      <c r="A32" t="s">
        <v>11</v>
      </c>
      <c r="B32" t="s">
        <v>29</v>
      </c>
      <c r="C32">
        <v>60</v>
      </c>
      <c r="D32">
        <f t="shared" si="0"/>
        <v>8.5768810172180878E-3</v>
      </c>
      <c r="E32" t="s">
        <v>29</v>
      </c>
      <c r="F32">
        <v>2</v>
      </c>
      <c r="G32">
        <f t="shared" si="1"/>
        <v>4.9001592551757931E-3</v>
      </c>
      <c r="H32">
        <v>0.57108927108927099</v>
      </c>
      <c r="I32">
        <f t="shared" si="2"/>
        <v>0.57132181795908377</v>
      </c>
    </row>
    <row r="33" spans="1:9" x14ac:dyDescent="0.2">
      <c r="A33" t="s">
        <v>11</v>
      </c>
      <c r="B33" t="s">
        <v>30</v>
      </c>
      <c r="C33">
        <v>3</v>
      </c>
      <c r="D33">
        <f t="shared" si="0"/>
        <v>4.2884405086090441E-4</v>
      </c>
      <c r="E33" t="s">
        <v>30</v>
      </c>
      <c r="F33">
        <v>3</v>
      </c>
      <c r="G33">
        <f t="shared" si="1"/>
        <v>7.3502388827636905E-3</v>
      </c>
      <c r="H33" s="1">
        <f>G33/D33</f>
        <v>17.139654538772511</v>
      </c>
      <c r="I33">
        <f t="shared" si="2"/>
        <v>17.139654538772511</v>
      </c>
    </row>
    <row r="34" spans="1:9" x14ac:dyDescent="0.2">
      <c r="A34" t="s">
        <v>11</v>
      </c>
      <c r="B34" t="s">
        <v>31</v>
      </c>
      <c r="C34">
        <v>37</v>
      </c>
      <c r="D34">
        <f t="shared" si="0"/>
        <v>5.2890766272844876E-3</v>
      </c>
      <c r="E34" t="s">
        <v>31</v>
      </c>
      <c r="F34">
        <v>14</v>
      </c>
      <c r="G34">
        <f t="shared" si="1"/>
        <v>3.4301114786230553E-2</v>
      </c>
      <c r="H34">
        <v>6.4826349691214551</v>
      </c>
      <c r="I34">
        <f t="shared" si="2"/>
        <v>6.4852746903463556</v>
      </c>
    </row>
    <row r="35" spans="1:9" x14ac:dyDescent="0.2">
      <c r="A35" t="s">
        <v>11</v>
      </c>
      <c r="B35" t="s">
        <v>32</v>
      </c>
      <c r="C35">
        <v>37</v>
      </c>
      <c r="D35">
        <f t="shared" si="0"/>
        <v>5.2890766272844876E-3</v>
      </c>
      <c r="E35" t="s">
        <v>32</v>
      </c>
      <c r="F35">
        <v>10</v>
      </c>
      <c r="G35">
        <f t="shared" si="1"/>
        <v>2.4500796275878967E-2</v>
      </c>
      <c r="H35">
        <v>4.6304535493724677</v>
      </c>
      <c r="I35">
        <f t="shared" si="2"/>
        <v>4.6323390645331113</v>
      </c>
    </row>
    <row r="36" spans="1:9" x14ac:dyDescent="0.2">
      <c r="A36" t="s">
        <v>9</v>
      </c>
      <c r="B36" t="s">
        <v>33</v>
      </c>
      <c r="C36">
        <v>308</v>
      </c>
      <c r="D36">
        <f t="shared" si="0"/>
        <v>4.4027989221719521E-2</v>
      </c>
      <c r="E36" t="s">
        <v>33</v>
      </c>
      <c r="F36">
        <v>52</v>
      </c>
      <c r="G36">
        <f t="shared" si="1"/>
        <v>0.12740414063457062</v>
      </c>
      <c r="H36">
        <v>2.8925300743482563</v>
      </c>
      <c r="I36">
        <f t="shared" si="2"/>
        <v>2.8937079091434108</v>
      </c>
    </row>
    <row r="37" spans="1:9" x14ac:dyDescent="0.2">
      <c r="A37" t="s">
        <v>10</v>
      </c>
      <c r="B37" t="s">
        <v>34</v>
      </c>
      <c r="C37">
        <v>491</v>
      </c>
      <c r="D37">
        <f t="shared" si="0"/>
        <v>7.0187476324234693E-2</v>
      </c>
      <c r="E37" t="s">
        <v>34</v>
      </c>
      <c r="F37">
        <v>13</v>
      </c>
      <c r="G37">
        <f t="shared" si="1"/>
        <v>3.1851035158642654E-2</v>
      </c>
      <c r="H37">
        <v>0.45361469597722143</v>
      </c>
      <c r="I37">
        <f t="shared" si="2"/>
        <v>0.45379940734020902</v>
      </c>
    </row>
    <row r="38" spans="1:9" x14ac:dyDescent="0.2">
      <c r="A38" t="s">
        <v>11</v>
      </c>
      <c r="B38" t="s">
        <v>35</v>
      </c>
      <c r="C38">
        <v>23</v>
      </c>
      <c r="D38">
        <f t="shared" si="0"/>
        <v>3.2878043899336007E-3</v>
      </c>
      <c r="E38" t="s">
        <v>35</v>
      </c>
      <c r="F38">
        <v>17</v>
      </c>
      <c r="G38">
        <f t="shared" si="1"/>
        <v>4.1651353668994244E-2</v>
      </c>
      <c r="H38">
        <v>12.663283837196881</v>
      </c>
      <c r="I38">
        <f t="shared" si="2"/>
        <v>12.668440311266638</v>
      </c>
    </row>
    <row r="39" spans="1:9" x14ac:dyDescent="0.2">
      <c r="A39" t="s">
        <v>11</v>
      </c>
      <c r="B39" t="s">
        <v>36</v>
      </c>
      <c r="C39">
        <v>2</v>
      </c>
      <c r="D39">
        <f t="shared" si="0"/>
        <v>2.8589603390726963E-4</v>
      </c>
      <c r="E39" t="s">
        <v>36</v>
      </c>
      <c r="F39">
        <v>1</v>
      </c>
      <c r="G39">
        <f t="shared" si="1"/>
        <v>2.4500796275878966E-3</v>
      </c>
      <c r="H39">
        <v>8.5663390663390651</v>
      </c>
      <c r="I39">
        <f t="shared" si="2"/>
        <v>8.5698272693862556</v>
      </c>
    </row>
    <row r="40" spans="1:9" x14ac:dyDescent="0.2">
      <c r="A40" t="s">
        <v>11</v>
      </c>
      <c r="B40" t="s">
        <v>37</v>
      </c>
      <c r="C40">
        <v>1</v>
      </c>
      <c r="D40">
        <f t="shared" si="0"/>
        <v>1.4294801695363481E-4</v>
      </c>
      <c r="E40" t="s">
        <v>37</v>
      </c>
      <c r="F40">
        <v>2</v>
      </c>
      <c r="G40">
        <f t="shared" si="1"/>
        <v>4.9001592551757931E-3</v>
      </c>
      <c r="H40">
        <v>34.26535626535626</v>
      </c>
      <c r="I40">
        <f t="shared" si="2"/>
        <v>34.279309077545022</v>
      </c>
    </row>
    <row r="41" spans="1:9" x14ac:dyDescent="0.2">
      <c r="A41" t="s">
        <v>11</v>
      </c>
      <c r="B41" t="s">
        <v>38</v>
      </c>
      <c r="C41">
        <v>5</v>
      </c>
      <c r="D41">
        <f t="shared" si="0"/>
        <v>7.1474008476817398E-4</v>
      </c>
      <c r="E41" t="s">
        <v>38</v>
      </c>
      <c r="F41">
        <v>1</v>
      </c>
      <c r="G41">
        <f t="shared" si="1"/>
        <v>2.4500796275878966E-3</v>
      </c>
      <c r="H41">
        <v>3.4265356265356264</v>
      </c>
      <c r="I41">
        <f t="shared" si="2"/>
        <v>3.4279309077545022</v>
      </c>
    </row>
    <row r="42" spans="1:9" x14ac:dyDescent="0.2">
      <c r="A42" t="s">
        <v>11</v>
      </c>
      <c r="B42" t="s">
        <v>39</v>
      </c>
      <c r="C42">
        <v>5</v>
      </c>
      <c r="D42">
        <f t="shared" si="0"/>
        <v>7.1474008476817398E-4</v>
      </c>
      <c r="E42" t="s">
        <v>39</v>
      </c>
      <c r="F42">
        <v>5</v>
      </c>
      <c r="G42">
        <f t="shared" si="1"/>
        <v>1.2250398137939484E-2</v>
      </c>
      <c r="H42">
        <v>17.132678132678134</v>
      </c>
      <c r="I42">
        <f t="shared" si="2"/>
        <v>17.139654538772511</v>
      </c>
    </row>
    <row r="43" spans="1:9" x14ac:dyDescent="0.2">
      <c r="A43" t="s">
        <v>11</v>
      </c>
      <c r="B43" t="s">
        <v>40</v>
      </c>
      <c r="C43">
        <v>102</v>
      </c>
      <c r="D43">
        <f t="shared" si="0"/>
        <v>1.458069772927075E-2</v>
      </c>
      <c r="E43" t="s">
        <v>40</v>
      </c>
      <c r="F43">
        <v>2</v>
      </c>
      <c r="G43">
        <f t="shared" si="1"/>
        <v>4.9001592551757931E-3</v>
      </c>
      <c r="H43">
        <v>0.33593486534663003</v>
      </c>
      <c r="I43">
        <f t="shared" si="2"/>
        <v>0.33607165762299041</v>
      </c>
    </row>
    <row r="44" spans="1:9" x14ac:dyDescent="0.2">
      <c r="A44" t="s">
        <v>10</v>
      </c>
      <c r="B44" t="s">
        <v>41</v>
      </c>
      <c r="C44">
        <v>592</v>
      </c>
      <c r="D44">
        <f t="shared" si="0"/>
        <v>8.4625226036551801E-2</v>
      </c>
      <c r="E44" t="s">
        <v>41</v>
      </c>
      <c r="F44">
        <v>18</v>
      </c>
      <c r="G44">
        <f t="shared" si="1"/>
        <v>4.4101433296582143E-2</v>
      </c>
      <c r="H44">
        <v>0.5209260243044026</v>
      </c>
      <c r="I44">
        <f t="shared" si="2"/>
        <v>0.52113814475997511</v>
      </c>
    </row>
    <row r="45" spans="1:9" x14ac:dyDescent="0.2">
      <c r="A45" t="s">
        <v>57</v>
      </c>
      <c r="B45" t="s">
        <v>42</v>
      </c>
      <c r="C45">
        <v>24</v>
      </c>
      <c r="D45">
        <f t="shared" si="0"/>
        <v>3.4307524068872353E-3</v>
      </c>
      <c r="E45" t="s">
        <v>42</v>
      </c>
      <c r="F45">
        <v>15</v>
      </c>
      <c r="G45">
        <f t="shared" si="1"/>
        <v>3.6751194413818453E-2</v>
      </c>
      <c r="H45">
        <v>10.707923832923832</v>
      </c>
      <c r="I45">
        <f t="shared" si="2"/>
        <v>10.71228408673282</v>
      </c>
    </row>
    <row r="46" spans="1:9" x14ac:dyDescent="0.2">
      <c r="A46" t="s">
        <v>11</v>
      </c>
      <c r="B46">
        <v>16</v>
      </c>
      <c r="C46">
        <v>72.849999999999994</v>
      </c>
      <c r="D46">
        <f t="shared" si="0"/>
        <v>1.0413763035072295E-2</v>
      </c>
      <c r="F46">
        <v>0.05</v>
      </c>
      <c r="G46">
        <f t="shared" si="1"/>
        <v>1.2250398137939484E-4</v>
      </c>
      <c r="H46">
        <v>1</v>
      </c>
      <c r="I46">
        <f t="shared" si="2"/>
        <v>1.1763661316933776E-2</v>
      </c>
    </row>
    <row r="47" spans="1:9" x14ac:dyDescent="0.2">
      <c r="A47" t="s">
        <v>11</v>
      </c>
      <c r="B47">
        <v>17</v>
      </c>
      <c r="C47">
        <v>1.85</v>
      </c>
      <c r="D47">
        <f t="shared" si="0"/>
        <v>2.6445383136422442E-4</v>
      </c>
      <c r="F47">
        <v>0.05</v>
      </c>
      <c r="G47">
        <f t="shared" si="1"/>
        <v>1.2250398137939484E-4</v>
      </c>
      <c r="H47">
        <v>1</v>
      </c>
      <c r="I47">
        <f t="shared" si="2"/>
        <v>0.46323390645331108</v>
      </c>
    </row>
    <row r="48" spans="1:9" x14ac:dyDescent="0.2">
      <c r="A48" t="s">
        <v>11</v>
      </c>
      <c r="B48">
        <v>28</v>
      </c>
      <c r="C48">
        <v>1.85</v>
      </c>
      <c r="D48">
        <f t="shared" si="0"/>
        <v>2.6445383136422442E-4</v>
      </c>
      <c r="F48">
        <v>0.05</v>
      </c>
      <c r="G48">
        <f t="shared" si="1"/>
        <v>1.2250398137939484E-4</v>
      </c>
      <c r="H48">
        <v>1</v>
      </c>
      <c r="I48">
        <f t="shared" si="2"/>
        <v>0.46323390645331108</v>
      </c>
    </row>
    <row r="49" spans="1:9" x14ac:dyDescent="0.2">
      <c r="A49" t="s">
        <v>11</v>
      </c>
      <c r="B49">
        <v>29</v>
      </c>
      <c r="C49">
        <v>2.85</v>
      </c>
      <c r="D49">
        <f t="shared" si="0"/>
        <v>4.0740184831785921E-4</v>
      </c>
      <c r="F49">
        <v>0.05</v>
      </c>
      <c r="G49">
        <f t="shared" si="1"/>
        <v>1.2250398137939484E-4</v>
      </c>
      <c r="H49">
        <v>1</v>
      </c>
      <c r="I49">
        <f t="shared" si="2"/>
        <v>0.30069569366267562</v>
      </c>
    </row>
    <row r="50" spans="1:9" x14ac:dyDescent="0.2">
      <c r="A50" t="s">
        <v>11</v>
      </c>
      <c r="B50">
        <v>30</v>
      </c>
      <c r="C50">
        <v>1.85</v>
      </c>
      <c r="D50">
        <f t="shared" si="0"/>
        <v>2.6445383136422442E-4</v>
      </c>
      <c r="F50">
        <v>0.05</v>
      </c>
      <c r="G50">
        <f t="shared" si="1"/>
        <v>1.2250398137939484E-4</v>
      </c>
      <c r="H50">
        <v>1</v>
      </c>
      <c r="I50">
        <f t="shared" si="2"/>
        <v>0.46323390645331108</v>
      </c>
    </row>
    <row r="51" spans="1:9" x14ac:dyDescent="0.2">
      <c r="A51" t="s">
        <v>11</v>
      </c>
      <c r="B51">
        <v>33</v>
      </c>
      <c r="C51">
        <v>3.85</v>
      </c>
      <c r="D51">
        <f t="shared" si="0"/>
        <v>5.5034986527149399E-4</v>
      </c>
      <c r="F51">
        <v>0.05</v>
      </c>
      <c r="G51">
        <f t="shared" si="1"/>
        <v>1.2250398137939484E-4</v>
      </c>
      <c r="H51">
        <v>1</v>
      </c>
      <c r="I51">
        <f t="shared" si="2"/>
        <v>0.2225929160879547</v>
      </c>
    </row>
    <row r="52" spans="1:9" x14ac:dyDescent="0.2">
      <c r="A52" t="s">
        <v>11</v>
      </c>
      <c r="B52">
        <v>36</v>
      </c>
      <c r="C52">
        <v>1.85</v>
      </c>
      <c r="D52">
        <f t="shared" si="0"/>
        <v>2.6445383136422442E-4</v>
      </c>
      <c r="F52">
        <v>0.05</v>
      </c>
      <c r="G52">
        <f t="shared" si="1"/>
        <v>1.2250398137939484E-4</v>
      </c>
      <c r="H52">
        <v>1</v>
      </c>
      <c r="I52">
        <f t="shared" si="2"/>
        <v>0.46323390645331108</v>
      </c>
    </row>
    <row r="53" spans="1:9" x14ac:dyDescent="0.2">
      <c r="A53" t="s">
        <v>11</v>
      </c>
      <c r="B53" t="s">
        <v>43</v>
      </c>
      <c r="C53">
        <v>4.8499999999999996</v>
      </c>
      <c r="D53">
        <f t="shared" si="0"/>
        <v>6.9329788222512873E-4</v>
      </c>
      <c r="F53">
        <v>0.05</v>
      </c>
      <c r="G53">
        <f t="shared" si="1"/>
        <v>1.2250398137939484E-4</v>
      </c>
      <c r="H53">
        <v>1</v>
      </c>
      <c r="I53">
        <f t="shared" si="2"/>
        <v>0.17669746947188159</v>
      </c>
    </row>
    <row r="54" spans="1:9" x14ac:dyDescent="0.2">
      <c r="A54" t="s">
        <v>11</v>
      </c>
      <c r="B54" t="s">
        <v>44</v>
      </c>
      <c r="C54">
        <v>297.85000000000002</v>
      </c>
      <c r="D54">
        <f t="shared" si="0"/>
        <v>4.2577066849640133E-2</v>
      </c>
      <c r="F54">
        <v>0.05</v>
      </c>
      <c r="G54">
        <f t="shared" si="1"/>
        <v>1.2250398137939484E-4</v>
      </c>
      <c r="H54">
        <v>1</v>
      </c>
      <c r="I54">
        <f t="shared" si="2"/>
        <v>2.8772292326292612E-3</v>
      </c>
    </row>
    <row r="55" spans="1:9" x14ac:dyDescent="0.2">
      <c r="A55" t="s">
        <v>11</v>
      </c>
      <c r="B55" t="s">
        <v>45</v>
      </c>
      <c r="C55">
        <v>3.85</v>
      </c>
      <c r="D55">
        <f t="shared" si="0"/>
        <v>5.5034986527149399E-4</v>
      </c>
      <c r="F55">
        <v>0.05</v>
      </c>
      <c r="G55">
        <f t="shared" si="1"/>
        <v>1.2250398137939484E-4</v>
      </c>
      <c r="H55">
        <v>1</v>
      </c>
      <c r="I55">
        <f t="shared" si="2"/>
        <v>0.2225929160879547</v>
      </c>
    </row>
    <row r="56" spans="1:9" x14ac:dyDescent="0.2">
      <c r="A56" t="s">
        <v>11</v>
      </c>
      <c r="B56" t="s">
        <v>46</v>
      </c>
      <c r="C56">
        <v>1.85</v>
      </c>
      <c r="D56">
        <f t="shared" si="0"/>
        <v>2.6445383136422442E-4</v>
      </c>
      <c r="F56">
        <v>0.05</v>
      </c>
      <c r="G56">
        <f t="shared" si="1"/>
        <v>1.2250398137939484E-4</v>
      </c>
      <c r="H56">
        <v>1</v>
      </c>
      <c r="I56">
        <f t="shared" si="2"/>
        <v>0.46323390645331108</v>
      </c>
    </row>
    <row r="57" spans="1:9" x14ac:dyDescent="0.2">
      <c r="A57" t="s">
        <v>11</v>
      </c>
      <c r="B57" t="s">
        <v>47</v>
      </c>
      <c r="C57">
        <v>3.85</v>
      </c>
      <c r="D57">
        <f t="shared" si="0"/>
        <v>5.5034986527149399E-4</v>
      </c>
      <c r="F57">
        <v>0.05</v>
      </c>
      <c r="G57">
        <f t="shared" si="1"/>
        <v>1.2250398137939484E-4</v>
      </c>
      <c r="H57">
        <v>1</v>
      </c>
      <c r="I57">
        <f t="shared" si="2"/>
        <v>0.2225929160879547</v>
      </c>
    </row>
    <row r="58" spans="1:9" x14ac:dyDescent="0.2">
      <c r="A58" t="s">
        <v>11</v>
      </c>
      <c r="B58" t="s">
        <v>48</v>
      </c>
      <c r="C58">
        <v>7.85</v>
      </c>
      <c r="D58">
        <f t="shared" si="0"/>
        <v>1.1221419330860332E-3</v>
      </c>
      <c r="F58">
        <v>0.05</v>
      </c>
      <c r="G58">
        <f t="shared" si="1"/>
        <v>1.2250398137939484E-4</v>
      </c>
      <c r="H58">
        <v>1</v>
      </c>
      <c r="I58">
        <f t="shared" si="2"/>
        <v>0.10916977413230899</v>
      </c>
    </row>
    <row r="59" spans="1:9" x14ac:dyDescent="0.2">
      <c r="A59" t="s">
        <v>11</v>
      </c>
      <c r="B59" t="s">
        <v>49</v>
      </c>
      <c r="C59">
        <v>5.85</v>
      </c>
      <c r="D59">
        <f t="shared" si="0"/>
        <v>8.3624589917876357E-4</v>
      </c>
      <c r="F59">
        <v>0.05</v>
      </c>
      <c r="G59">
        <f t="shared" si="1"/>
        <v>1.2250398137939484E-4</v>
      </c>
      <c r="H59">
        <v>1</v>
      </c>
      <c r="I59">
        <f t="shared" si="2"/>
        <v>0.1464927738356625</v>
      </c>
    </row>
    <row r="60" spans="1:9" x14ac:dyDescent="0.2">
      <c r="A60" t="s">
        <v>11</v>
      </c>
      <c r="B60" t="s">
        <v>50</v>
      </c>
      <c r="C60">
        <v>1.85</v>
      </c>
      <c r="D60">
        <f t="shared" si="0"/>
        <v>2.6445383136422442E-4</v>
      </c>
      <c r="F60">
        <v>0.05</v>
      </c>
      <c r="G60">
        <f t="shared" si="1"/>
        <v>1.2250398137939484E-4</v>
      </c>
      <c r="H60">
        <v>1</v>
      </c>
      <c r="I60">
        <f t="shared" si="2"/>
        <v>0.46323390645331108</v>
      </c>
    </row>
    <row r="61" spans="1:9" x14ac:dyDescent="0.2">
      <c r="A61" t="s">
        <v>11</v>
      </c>
      <c r="B61" t="s">
        <v>51</v>
      </c>
      <c r="C61">
        <v>2.85</v>
      </c>
      <c r="D61">
        <f t="shared" si="0"/>
        <v>4.0740184831785921E-4</v>
      </c>
      <c r="F61">
        <v>0.05</v>
      </c>
      <c r="G61">
        <f t="shared" si="1"/>
        <v>1.2250398137939484E-4</v>
      </c>
      <c r="H61">
        <v>1</v>
      </c>
      <c r="I61">
        <f t="shared" si="2"/>
        <v>0.30069569366267562</v>
      </c>
    </row>
    <row r="62" spans="1:9" x14ac:dyDescent="0.2">
      <c r="A62" t="s">
        <v>9</v>
      </c>
      <c r="B62" t="s">
        <v>52</v>
      </c>
      <c r="C62">
        <v>184.85</v>
      </c>
      <c r="D62">
        <f t="shared" si="0"/>
        <v>2.6423940933879394E-2</v>
      </c>
      <c r="F62">
        <v>0.05</v>
      </c>
      <c r="G62">
        <f t="shared" si="1"/>
        <v>1.2250398137939484E-4</v>
      </c>
      <c r="H62">
        <v>1</v>
      </c>
      <c r="I62">
        <f t="shared" si="2"/>
        <v>4.6360980629625405E-3</v>
      </c>
    </row>
    <row r="63" spans="1:9" x14ac:dyDescent="0.2">
      <c r="A63" t="s">
        <v>11</v>
      </c>
      <c r="B63" t="s">
        <v>53</v>
      </c>
      <c r="C63">
        <v>69.849999999999994</v>
      </c>
      <c r="D63">
        <f t="shared" si="0"/>
        <v>9.9849189842113901E-3</v>
      </c>
      <c r="F63">
        <v>0.05</v>
      </c>
      <c r="G63">
        <f t="shared" si="1"/>
        <v>1.2250398137939484E-4</v>
      </c>
      <c r="H63">
        <v>1</v>
      </c>
      <c r="I63">
        <f t="shared" si="2"/>
        <v>1.2268900886737662E-2</v>
      </c>
    </row>
    <row r="64" spans="1:9" x14ac:dyDescent="0.2">
      <c r="A64" t="s">
        <v>11</v>
      </c>
      <c r="B64" t="s">
        <v>54</v>
      </c>
      <c r="C64">
        <v>0.85</v>
      </c>
      <c r="D64">
        <f t="shared" si="0"/>
        <v>1.2150581441058958E-4</v>
      </c>
      <c r="F64">
        <v>0.05</v>
      </c>
      <c r="G64">
        <f t="shared" si="1"/>
        <v>1.2250398137939484E-4</v>
      </c>
      <c r="H64">
        <v>1</v>
      </c>
      <c r="I64">
        <f t="shared" si="2"/>
        <v>1.0082149728689713</v>
      </c>
    </row>
    <row r="65" spans="1:9" x14ac:dyDescent="0.2">
      <c r="A65" t="s">
        <v>11</v>
      </c>
      <c r="B65" t="s">
        <v>55</v>
      </c>
      <c r="C65">
        <v>0.85</v>
      </c>
      <c r="D65">
        <f t="shared" si="0"/>
        <v>1.2150581441058958E-4</v>
      </c>
      <c r="F65">
        <v>0.05</v>
      </c>
      <c r="G65">
        <f t="shared" si="1"/>
        <v>1.2250398137939484E-4</v>
      </c>
      <c r="H65">
        <v>1</v>
      </c>
      <c r="I65">
        <f t="shared" si="2"/>
        <v>1.0082149728689713</v>
      </c>
    </row>
    <row r="66" spans="1:9" x14ac:dyDescent="0.2">
      <c r="A66" t="s">
        <v>11</v>
      </c>
      <c r="B66" t="s">
        <v>56</v>
      </c>
      <c r="C66">
        <v>0.85</v>
      </c>
      <c r="D66">
        <f t="shared" si="0"/>
        <v>1.2150581441058958E-4</v>
      </c>
      <c r="F66">
        <v>0.05</v>
      </c>
      <c r="G66">
        <f t="shared" si="1"/>
        <v>1.2250398137939484E-4</v>
      </c>
      <c r="H66">
        <v>1</v>
      </c>
      <c r="I66">
        <f t="shared" si="2"/>
        <v>1.0082149728689713</v>
      </c>
    </row>
  </sheetData>
  <conditionalFormatting sqref="B64">
    <cfRule type="duplicateValues" dxfId="4" priority="4"/>
  </conditionalFormatting>
  <conditionalFormatting sqref="B65">
    <cfRule type="duplicateValues" dxfId="3" priority="3"/>
  </conditionalFormatting>
  <conditionalFormatting sqref="B66">
    <cfRule type="duplicateValues" dxfId="2" priority="2"/>
  </conditionalFormatting>
  <conditionalFormatting sqref="B67:B68 E1:E65">
    <cfRule type="duplicateValues" dxfId="1" priority="5"/>
  </conditionalFormatting>
  <conditionalFormatting sqref="E1:E66 B1:B6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Qiu, Xueting</dc:creator>
  <cp:lastModifiedBy>Qiu, Xueting</cp:lastModifiedBy>
  <dcterms:created xsi:type="dcterms:W3CDTF">2022-02-08T22:24:43Z</dcterms:created>
  <dcterms:modified xsi:type="dcterms:W3CDTF">2025-11-06T13:31:33Z</dcterms:modified>
</cp:coreProperties>
</file>